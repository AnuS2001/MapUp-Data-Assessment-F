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attatraya\Documents\My Tableau Repository\MapUp-Data-Assessment-F\"/>
    </mc:Choice>
  </mc:AlternateContent>
  <xr:revisionPtr revIDLastSave="0" documentId="13_ncr:1_{BBE833A3-C6EE-4261-AC3F-F3F4E407295E}" xr6:coauthVersionLast="47" xr6:coauthVersionMax="47" xr10:uidLastSave="{00000000-0000-0000-0000-000000000000}"/>
  <bookViews>
    <workbookView xWindow="-110" yWindow="-110" windowWidth="19420" windowHeight="10300" tabRatio="849" activeTab="3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1" i="1" l="1"/>
  <c r="F30" i="18"/>
  <c r="F29" i="18"/>
  <c r="F28" i="18"/>
  <c r="E30" i="18"/>
  <c r="E29" i="18"/>
  <c r="E28" i="18"/>
  <c r="D30" i="18"/>
  <c r="D29" i="18"/>
  <c r="D28" i="18"/>
  <c r="C30" i="18"/>
  <c r="C29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23" i="20" a="1"/>
  <c r="C23" i="20" s="1"/>
  <c r="C22" i="19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<sst xmlns="http://schemas.openxmlformats.org/spreadsheetml/2006/main" count="337" uniqueCount="192">
  <si>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</si>
  <si>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</si>
  <si>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</si>
  <si>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</si>
  <si>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</si>
  <si>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</si>
  <si>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</si>
  <si>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</si>
  <si>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</si>
  <si>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</si>
  <si>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</si>
  <si>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</si>
  <si>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</si>
  <si>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</si>
  <si>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</si>
  <si>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</si>
  <si>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</si>
  <si>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</si>
  <si>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</si>
  <si>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</si>
  <si>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</si>
  <si>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</si>
  <si>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</si>
  <si>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</si>
  <si>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</si>
  <si>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</si>
  <si>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</si>
  <si>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</si>
  <si>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</si>
  <si>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</si>
  <si>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</si>
  <si>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</si>
  <si>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</si>
  <si>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</si>
  <si>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</si>
  <si>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</si>
  <si>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</si>
  <si>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</si>
  <si>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</si>
  <si>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</si>
  <si>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</si>
  <si>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</si>
  <si>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</si>
  <si>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</si>
  <si>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</si>
  <si>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</si>
  <si>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</si>
  <si>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</si>
  <si>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</si>
  <si>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</si>
  <si>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</si>
  <si>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</si>
  <si>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</si>
  <si>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</si>
  <si>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</si>
  <si>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</si>
  <si>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</si>
  <si>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</si>
  <si>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</si>
  <si>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</si>
  <si>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</si>
  <si>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</si>
  <si>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</si>
  <si>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</si>
  <si>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</si>
  <si>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</si>
  <si>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</si>
  <si>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</si>
  <si>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</si>
  <si>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</si>
  <si>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</si>
  <si>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</si>
  <si>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</si>
  <si>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</si>
  <si>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</si>
  <si>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</si>
  <si>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</si>
  <si>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</si>
  <si>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</si>
  <si>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</si>
  <si>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</si>
  <si>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</si>
  <si>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</si>
  <si>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</si>
  <si>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</si>
  <si>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</si>
  <si>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</si>
  <si>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</si>
  <si>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</si>
  <si>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</si>
  <si>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</si>
  <si>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</si>
  <si>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</si>
  <si>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</si>
  <si>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</si>
  <si>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</si>
  <si>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</si>
  <si>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</si>
  <si>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</si>
  <si>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</si>
  <si>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</si>
  <si>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</si>
  <si>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</si>
  <si>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</si>
  <si>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</si>
  <si>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</si>
  <si>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</si>
  <si>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</si>
  <si>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</si>
  <si>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</si>
  <si>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</si>
  <si>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</si>
  <si>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</si>
  <si>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</si>
  <si>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</si>
  <si>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</si>
  <si>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</si>
  <si>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</si>
  <si>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</si>
  <si>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</si>
  <si>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</si>
  <si>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</si>
  <si>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</si>
  <si>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</si>
  <si>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</si>
  <si>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</si>
  <si>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</si>
  <si>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</si>
  <si>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</si>
  <si>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</si>
  <si>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</si>
  <si>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</si>
  <si>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</si>
  <si>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</si>
  <si>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</si>
  <si>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</si>
  <si>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</si>
  <si>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</si>
  <si>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</si>
  <si>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</si>
  <si>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</si>
  <si>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</si>
  <si>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</si>
  <si>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</si>
  <si>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</si>
  <si>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</si>
  <si>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</si>
  <si>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</si>
  <si>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</si>
  <si>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</si>
  <si>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</si>
  <si>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</si>
  <si>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</si>
  <si>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</si>
  <si>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</si>
  <si>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</si>
  <si>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</si>
  <si>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</si>
  <si>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</si>
  <si>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</si>
  <si>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</si>
  <si>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</si>
  <si>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</si>
  <si>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</si>
  <si>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</si>
  <si>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</si>
  <si>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</si>
  <si>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</si>
  <si>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</si>
  <si>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</si>
  <si>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</si>
  <si>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</si>
  <si>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</si>
  <si>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</si>
  <si>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</si>
  <si>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</si>
  <si>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</si>
  <si>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Find("-",A16)+1</t>
  </si>
  <si>
    <t>Finds the position of the first hyphen and adds 1 to get the starting position for the MID function.</t>
  </si>
  <si>
    <t>MID(A1, ..., LEN(A1))</t>
  </si>
  <si>
    <t>Extracts the substring from the starting position to the end of the original string</t>
  </si>
  <si>
    <t>This part of the formula uses the SUMIF function to sum all values in column B that are not equal to #N/A.</t>
  </si>
  <si>
    <r>
      <t xml:space="preserve">This part uses the </t>
    </r>
    <r>
      <rPr>
        <sz val="11"/>
        <color rgb="FF000000"/>
        <rFont val="Calibri"/>
        <family val="2"/>
        <scheme val="minor"/>
      </rPr>
      <t>COUNTIF</t>
    </r>
    <r>
      <rPr>
        <sz val="11"/>
        <color rgb="FF374151"/>
        <rFont val="Calibri"/>
        <family val="2"/>
        <scheme val="minor"/>
      </rPr>
      <t xml:space="preserve"> function to count the number of #N/A occurrences in column B and then multiplies that count by 20.</t>
    </r>
  </si>
  <si>
    <t>This formula efficiently handles the condition specified, ensuring that the sum includes all valid sales values and substitutes #N/A values with '20'.</t>
  </si>
  <si>
    <t>By Combining above two parts we get, resulting in the total sum of sales where #N/A values are replaced with '20'.</t>
  </si>
  <si>
    <t>SUMIF(B:B, "&lt;&gt;#N/A", C12:C21)</t>
  </si>
  <si>
    <t>COUNTIF(C12:C21, "#N/A") * 20</t>
  </si>
  <si>
    <t>IFERROR(VLOOKUP(A23:A35, A9:J18, 2, FALSE), VLOOKUP(B23:B35, M9:N18, 2, FALSE))</t>
  </si>
  <si>
    <t>VLOOKUP(A23:A35,A9:J18,2,FALSE : Searches for the value in the "name 1" column of Table_C in the specified range of "name 1" in Table_A and returns the corresponding value from the second column of Table_A.</t>
  </si>
  <si>
    <t>VLOOKUP(B23:B35,M9:N18,2,FALSE) : If the value is not found in Table_A, this part searches for the value in the "name 2" column of Table_C in the specified range of "name 2" in Table_B and returns the corresponding value from the second column of Table_B.</t>
  </si>
  <si>
    <t>IFERROR(….,....) : Handles any errors that may occur during the lookup. If neither lookup succeeds, WE can leave it blank or provide a default value.</t>
  </si>
  <si>
    <t>SUMIF(H2:H40,"&gt;20")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</si>
</sst>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111827"/>
      <name val="Calibri"/>
      <family val="2"/>
      <scheme val="minor"/>
    </font>
    <font>
      <sz val="11"/>
      <color rgb="FF37415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0" fontId="17" fillId="0" borderId="0" xfId="0" applyFont="1"/>
    <xf numFmtId="0" fontId="18" fillId="0" borderId="0" xfId="0" applyFont="1"/>
    <xf numFmtId="14" fontId="7" fillId="0" borderId="0" xfId="0" applyNumberFormat="1" applyFont="1"/>
    <xf numFmtId="14" fontId="3" fillId="0" borderId="0" xfId="0" applyNumberFormat="1" applyFont="1"/>
    <xf numFmtId="165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4" t="s">
        <v>171</v>
      </c>
      <c r="B9" s="25" t="s">
        <v>169</v>
      </c>
    </row>
    <row r="10" spans="1:3" x14ac:dyDescent="0.3">
      <c r="A10" s="33" t="s">
        <v>172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17" activePane="bottomLeft" state="frozen"/>
      <selection pane="bottomLeft" activeCell="H41" sqref="H41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7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6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8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8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8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8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8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8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8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8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8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8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8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8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8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8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8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8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8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8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8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8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8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8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8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8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8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8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8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8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8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8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8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8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8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8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8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8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8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8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8">
        <v>45162</v>
      </c>
    </row>
    <row r="41" spans="1:24" x14ac:dyDescent="0.35">
      <c r="H41" s="1">
        <f>SUMIF(H2:H40,"&gt;20")</f>
        <v>1473.0000000000002</v>
      </c>
    </row>
  </sheetData>
  <conditionalFormatting sqref="A1:A1048576">
    <cfRule type="duplicateValues" dxfId="4" priority="4"/>
  </conditionalFormatting>
  <conditionalFormatting sqref="B1:B1048576">
    <cfRule type="duplicateValues" dxfId="3" priority="3"/>
  </conditionalFormatting>
  <conditionalFormatting sqref="A1:X40">
    <cfRule type="cellIs" dxfId="2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2" t="s">
        <v>191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abSelected="1" topLeftCell="A5" zoomScaleNormal="100" workbookViewId="0">
      <selection activeCell="H17" sqref="H17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9" customFormat="1" ht="21" x14ac:dyDescent="0.5">
      <c r="A1" s="40" t="s">
        <v>55</v>
      </c>
      <c r="B1" s="39" t="s">
        <v>164</v>
      </c>
    </row>
    <row r="2" spans="1:7" s="39" customFormat="1" ht="21" x14ac:dyDescent="0.5">
      <c r="B2" s="39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162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>Dataset!G2</f>
        <v>2.7</v>
      </c>
      <c r="C6" s="11">
        <f>Dataset!M2</f>
        <v>5.3</v>
      </c>
      <c r="D6" s="11">
        <f>Dataset!R2</f>
        <v>4.2</v>
      </c>
      <c r="E6" s="11">
        <f>Dataset!T2</f>
        <v>8.9</v>
      </c>
      <c r="F6" s="8">
        <f>Dataset!V2</f>
        <v>4.2</v>
      </c>
    </row>
    <row r="7" spans="1:7" ht="14.5" x14ac:dyDescent="0.35">
      <c r="A7" s="7" t="s">
        <v>4</v>
      </c>
      <c r="B7" s="11">
        <f>Dataset!G3</f>
        <v>2.7</v>
      </c>
      <c r="C7" s="11">
        <f>Dataset!M3</f>
        <v>5.3</v>
      </c>
      <c r="D7" s="11">
        <f>Dataset!R3</f>
        <v>4.2</v>
      </c>
      <c r="E7" s="11">
        <f>Dataset!T3</f>
        <v>8.9</v>
      </c>
      <c r="F7" s="8">
        <f>Dataset!V3</f>
        <v>4.2</v>
      </c>
    </row>
    <row r="8" spans="1:7" ht="14.5" x14ac:dyDescent="0.35">
      <c r="A8" s="7" t="s">
        <v>7</v>
      </c>
      <c r="B8" s="11">
        <f>Dataset!G4</f>
        <v>3.6</v>
      </c>
      <c r="C8" s="11">
        <f>Dataset!M4</f>
        <v>7.6</v>
      </c>
      <c r="D8" s="11">
        <f>Dataset!R4</f>
        <v>5.8</v>
      </c>
      <c r="E8" s="11">
        <f>Dataset!T4</f>
        <v>12.2</v>
      </c>
      <c r="F8" s="8">
        <f>Dataset!V4</f>
        <v>5.8</v>
      </c>
    </row>
    <row r="9" spans="1:7" ht="14.5" x14ac:dyDescent="0.35">
      <c r="A9" s="7" t="s">
        <v>8</v>
      </c>
      <c r="B9" s="11">
        <f>Dataset!G5</f>
        <v>4.9000000000000004</v>
      </c>
      <c r="C9" s="11">
        <f>Dataset!M5</f>
        <v>10</v>
      </c>
      <c r="D9" s="11">
        <f>Dataset!R5</f>
        <v>8.1</v>
      </c>
      <c r="E9" s="11">
        <f>Dataset!T5</f>
        <v>17</v>
      </c>
      <c r="F9" s="8">
        <f>Dataset!V5</f>
        <v>8.1</v>
      </c>
    </row>
    <row r="10" spans="1:7" ht="14.5" x14ac:dyDescent="0.35">
      <c r="A10" s="7" t="s">
        <v>11</v>
      </c>
      <c r="B10" s="11">
        <f>Dataset!G6</f>
        <v>6.6</v>
      </c>
      <c r="C10" s="11">
        <f>Dataset!M6</f>
        <v>13.3</v>
      </c>
      <c r="D10" s="11">
        <f>Dataset!R6</f>
        <v>11</v>
      </c>
      <c r="E10" s="11">
        <f>Dataset!T6</f>
        <v>22.5</v>
      </c>
      <c r="F10" s="8">
        <f>Dataset!V6</f>
        <v>11</v>
      </c>
    </row>
    <row r="11" spans="1:7" ht="14.5" x14ac:dyDescent="0.35">
      <c r="A11" s="7" t="s">
        <v>12</v>
      </c>
      <c r="B11" s="11">
        <f>Dataset!G7</f>
        <v>7.1</v>
      </c>
      <c r="C11" s="11">
        <f>Dataset!M7</f>
        <v>14.4</v>
      </c>
      <c r="D11" s="11">
        <f>Dataset!R7</f>
        <v>12.8</v>
      </c>
      <c r="E11" s="11">
        <f>Dataset!T7</f>
        <v>26.1</v>
      </c>
      <c r="F11" s="8">
        <f>Dataset!V7</f>
        <v>12.8</v>
      </c>
    </row>
    <row r="12" spans="1:7" ht="14.5" x14ac:dyDescent="0.35">
      <c r="A12" s="7" t="s">
        <v>14</v>
      </c>
      <c r="B12" s="11">
        <f>Dataset!G8</f>
        <v>9.4</v>
      </c>
      <c r="C12" s="11">
        <f>Dataset!M8</f>
        <v>19.2</v>
      </c>
      <c r="D12" s="11">
        <f>Dataset!R8</f>
        <v>16.100000000000001</v>
      </c>
      <c r="E12" s="11">
        <f>Dataset!T8</f>
        <v>32.799999999999997</v>
      </c>
      <c r="F12" s="8">
        <f>Dataset!V8</f>
        <v>16.100000000000001</v>
      </c>
    </row>
    <row r="13" spans="1:7" ht="14.5" x14ac:dyDescent="0.35">
      <c r="A13" s="7" t="s">
        <v>15</v>
      </c>
      <c r="B13" s="11">
        <f>Dataset!G9</f>
        <v>11.6</v>
      </c>
      <c r="C13" s="11">
        <f>Dataset!M9</f>
        <v>23.6</v>
      </c>
      <c r="D13" s="11">
        <f>Dataset!R9</f>
        <v>21.3</v>
      </c>
      <c r="E13" s="11">
        <f>Dataset!T9</f>
        <v>43</v>
      </c>
      <c r="F13" s="8">
        <f>Dataset!V9</f>
        <v>21.3</v>
      </c>
    </row>
    <row r="14" spans="1:7" ht="14.5" x14ac:dyDescent="0.35">
      <c r="A14" s="7" t="s">
        <v>16</v>
      </c>
      <c r="B14" s="11">
        <f>Dataset!G10</f>
        <v>16.100000000000001</v>
      </c>
      <c r="C14" s="11">
        <f>Dataset!M10</f>
        <v>32.799999999999997</v>
      </c>
      <c r="D14" s="11">
        <f>Dataset!R10</f>
        <v>29.1</v>
      </c>
      <c r="E14" s="11">
        <f>Dataset!T10</f>
        <v>59</v>
      </c>
      <c r="F14" s="8">
        <f>Dataset!V10</f>
        <v>29.1</v>
      </c>
    </row>
    <row r="15" spans="1:7" ht="14.5" x14ac:dyDescent="0.35">
      <c r="A15" s="7" t="s">
        <v>18</v>
      </c>
      <c r="B15" s="11">
        <f>Dataset!G11</f>
        <v>18.399999999999999</v>
      </c>
      <c r="C15" s="11">
        <f>Dataset!M11</f>
        <v>37.200000000000003</v>
      </c>
      <c r="D15" s="11">
        <f>Dataset!R11</f>
        <v>33.799999999999997</v>
      </c>
      <c r="E15" s="11">
        <f>Dataset!T11</f>
        <v>67.900000000000006</v>
      </c>
      <c r="F15" s="8">
        <f>Dataset!V11</f>
        <v>33.799999999999997</v>
      </c>
    </row>
    <row r="16" spans="1:7" ht="14.5" x14ac:dyDescent="0.35">
      <c r="A16" s="7" t="s">
        <v>20</v>
      </c>
      <c r="B16" s="11">
        <f>Dataset!G12</f>
        <v>0</v>
      </c>
      <c r="C16" s="11">
        <f>Dataset!M12</f>
        <v>0</v>
      </c>
      <c r="D16" s="11">
        <f>Dataset!R12</f>
        <v>0</v>
      </c>
      <c r="E16" s="11">
        <f>Dataset!T12</f>
        <v>0</v>
      </c>
      <c r="F16" s="8">
        <f>Dataset!V12</f>
        <v>0</v>
      </c>
    </row>
    <row r="17" spans="1:6" ht="14.5" x14ac:dyDescent="0.35">
      <c r="A17" s="7" t="s">
        <v>22</v>
      </c>
      <c r="B17" s="11">
        <f>Dataset!G13</f>
        <v>21.9</v>
      </c>
      <c r="C17" s="11">
        <f>Dataset!M13</f>
        <v>42.3</v>
      </c>
      <c r="D17" s="11">
        <f>Dataset!R13</f>
        <v>40.1</v>
      </c>
      <c r="E17" s="11">
        <f>Dataset!T13</f>
        <v>76.599999999999994</v>
      </c>
      <c r="F17" s="8">
        <f>Dataset!V13</f>
        <v>40.1</v>
      </c>
    </row>
    <row r="18" spans="1:6" ht="14.5" x14ac:dyDescent="0.35">
      <c r="A18" s="7" t="s">
        <v>23</v>
      </c>
      <c r="B18" s="11">
        <f>Dataset!G14</f>
        <v>23.5</v>
      </c>
      <c r="C18" s="11">
        <f>Dataset!M14</f>
        <v>47.7</v>
      </c>
      <c r="D18" s="11">
        <f>Dataset!R14</f>
        <v>42.7</v>
      </c>
      <c r="E18" s="11">
        <f>Dataset!T14</f>
        <v>86.6</v>
      </c>
      <c r="F18" s="8">
        <f>Dataset!V14</f>
        <v>42.7</v>
      </c>
    </row>
    <row r="19" spans="1:6" ht="14.5" x14ac:dyDescent="0.35">
      <c r="A19" s="7" t="s">
        <v>24</v>
      </c>
      <c r="B19" s="11">
        <f>Dataset!G15</f>
        <v>26.8</v>
      </c>
      <c r="C19" s="11">
        <f>Dataset!M15</f>
        <v>54.6</v>
      </c>
      <c r="D19" s="11">
        <f>Dataset!R15</f>
        <v>47.9</v>
      </c>
      <c r="E19" s="11">
        <f>Dataset!T15</f>
        <v>96.8</v>
      </c>
      <c r="F19" s="8">
        <f>Dataset!V15</f>
        <v>47.9</v>
      </c>
    </row>
    <row r="20" spans="1:6" ht="14.5" x14ac:dyDescent="0.35">
      <c r="A20" s="7" t="s">
        <v>28</v>
      </c>
      <c r="B20" s="11">
        <f>Dataset!G16</f>
        <v>28</v>
      </c>
      <c r="C20" s="11">
        <f>Dataset!M16</f>
        <v>56.7</v>
      </c>
      <c r="D20" s="11">
        <f>Dataset!R16</f>
        <v>50.1</v>
      </c>
      <c r="E20" s="11">
        <f>Dataset!T16</f>
        <v>101.3</v>
      </c>
      <c r="F20" s="8">
        <f>Dataset!V16</f>
        <v>50.1</v>
      </c>
    </row>
    <row r="21" spans="1:6" ht="14.5" x14ac:dyDescent="0.35">
      <c r="A21" s="7" t="s">
        <v>57</v>
      </c>
      <c r="B21" s="11">
        <f>Dataset!G17</f>
        <v>28.5</v>
      </c>
      <c r="C21" s="11">
        <f>Dataset!M17</f>
        <v>58.3</v>
      </c>
      <c r="D21" s="11">
        <f>Dataset!R17</f>
        <v>52.3</v>
      </c>
      <c r="E21" s="11">
        <f>Dataset!T17</f>
        <v>106.1</v>
      </c>
      <c r="F21" s="8">
        <f>Dataset!V17</f>
        <v>52.3</v>
      </c>
    </row>
    <row r="22" spans="1:6" ht="14.5" x14ac:dyDescent="0.35">
      <c r="A22" s="7" t="s">
        <v>58</v>
      </c>
      <c r="B22" s="11">
        <f>Dataset!G18</f>
        <v>29.1</v>
      </c>
      <c r="C22" s="11">
        <f>Dataset!M18</f>
        <v>59</v>
      </c>
      <c r="D22" s="11">
        <f>Dataset!R18</f>
        <v>53.7</v>
      </c>
      <c r="E22" s="11">
        <f>Dataset!T18</f>
        <v>108.8</v>
      </c>
      <c r="F22" s="8">
        <f>Dataset!V18</f>
        <v>53.7</v>
      </c>
    </row>
    <row r="23" spans="1:6" ht="14.5" x14ac:dyDescent="0.35">
      <c r="A23" s="7" t="s">
        <v>31</v>
      </c>
      <c r="B23" s="11">
        <f>Dataset!G19</f>
        <v>30.7</v>
      </c>
      <c r="C23" s="11">
        <f>Dataset!M19</f>
        <v>62.5</v>
      </c>
      <c r="D23" s="11">
        <f>Dataset!R19</f>
        <v>57</v>
      </c>
      <c r="E23" s="11">
        <f>Dataset!T19</f>
        <v>115.1</v>
      </c>
      <c r="F23" s="8">
        <f>Dataset!V19</f>
        <v>57</v>
      </c>
    </row>
    <row r="24" spans="1:6" ht="14.5" x14ac:dyDescent="0.35">
      <c r="A24" s="7" t="s">
        <v>32</v>
      </c>
      <c r="B24" s="11">
        <f>Dataset!G20</f>
        <v>33.799999999999997</v>
      </c>
      <c r="C24" s="11">
        <f>Dataset!M20</f>
        <v>67.900000000000006</v>
      </c>
      <c r="D24" s="11">
        <f>Dataset!R20</f>
        <v>61.4</v>
      </c>
      <c r="E24" s="11">
        <f>Dataset!T20</f>
        <v>124.4</v>
      </c>
      <c r="F24" s="8">
        <f>Dataset!V20</f>
        <v>61.4</v>
      </c>
    </row>
    <row r="25" spans="1:6" ht="14.5" x14ac:dyDescent="0.35">
      <c r="A25" s="7" t="s">
        <v>34</v>
      </c>
      <c r="B25" s="11">
        <f>Dataset!G21</f>
        <v>34.700000000000003</v>
      </c>
      <c r="C25" s="11">
        <f>Dataset!M21</f>
        <v>70.8</v>
      </c>
      <c r="D25" s="11">
        <f>Dataset!R21</f>
        <v>63.6</v>
      </c>
      <c r="E25" s="11">
        <f>Dataset!T21</f>
        <v>128.6</v>
      </c>
      <c r="F25" s="8">
        <f>Dataset!V21</f>
        <v>63.6</v>
      </c>
    </row>
    <row r="26" spans="1:6" ht="14.5" x14ac:dyDescent="0.35">
      <c r="A26" s="7" t="s">
        <v>37</v>
      </c>
      <c r="B26" s="11">
        <f>Dataset!G22</f>
        <v>36.5</v>
      </c>
      <c r="C26" s="11">
        <f>Dataset!M22</f>
        <v>73.900000000000006</v>
      </c>
      <c r="D26" s="11">
        <f>Dataset!R22</f>
        <v>65.900000000000006</v>
      </c>
      <c r="E26" s="11">
        <f>Dataset!T22</f>
        <v>133.4</v>
      </c>
      <c r="F26" s="8">
        <f>Dataset!V22</f>
        <v>65.900000000000006</v>
      </c>
    </row>
    <row r="27" spans="1:6" ht="14.5" x14ac:dyDescent="0.35">
      <c r="A27" s="7" t="s">
        <v>39</v>
      </c>
      <c r="B27" s="11">
        <f>Dataset!G23</f>
        <v>38</v>
      </c>
      <c r="C27" s="11">
        <f>Dataset!M23</f>
        <v>76.599999999999994</v>
      </c>
      <c r="D27" s="11">
        <f>Dataset!R23</f>
        <v>68.7</v>
      </c>
      <c r="E27" s="11">
        <f>Dataset!T23</f>
        <v>138.80000000000001</v>
      </c>
      <c r="F27" s="8">
        <f>Dataset!V23</f>
        <v>68.7</v>
      </c>
    </row>
    <row r="28" spans="1:6" ht="14.5" x14ac:dyDescent="0.35">
      <c r="A28" s="18" t="s">
        <v>82</v>
      </c>
      <c r="B28" s="30">
        <f>MIN(B6:B27)</f>
        <v>0</v>
      </c>
      <c r="C28" s="30">
        <f>MIN(C6:C27)</f>
        <v>0</v>
      </c>
      <c r="D28" s="30">
        <f>MIN(D6:D27)</f>
        <v>0</v>
      </c>
      <c r="E28" s="30">
        <f>MIN(E6:E27)</f>
        <v>0</v>
      </c>
      <c r="F28" s="30">
        <f>MIN(F6:F27)</f>
        <v>0</v>
      </c>
    </row>
    <row r="29" spans="1:6" ht="14.5" x14ac:dyDescent="0.35">
      <c r="A29" s="18" t="s">
        <v>83</v>
      </c>
      <c r="B29" s="30">
        <f>MAX(B6:B27)</f>
        <v>38</v>
      </c>
      <c r="C29" s="30">
        <f>MAX(C6:C27)</f>
        <v>76.599999999999994</v>
      </c>
      <c r="D29" s="30">
        <f>MAX(D6:D27)</f>
        <v>68.7</v>
      </c>
      <c r="E29" s="30">
        <f>MAX(E6:E27)</f>
        <v>138.80000000000001</v>
      </c>
      <c r="F29" s="30">
        <f>MAX(F6:F27)</f>
        <v>68.7</v>
      </c>
    </row>
    <row r="30" spans="1:6" ht="14.5" x14ac:dyDescent="0.35">
      <c r="A30" s="18" t="s">
        <v>84</v>
      </c>
      <c r="B30" s="30">
        <f>AVERAGE(B6:B27)</f>
        <v>18.845454545454547</v>
      </c>
      <c r="C30" s="30">
        <f>AVERAGE(C6:C27)</f>
        <v>38.136363636363633</v>
      </c>
      <c r="D30" s="30">
        <f>AVERAGE(D6:D27)</f>
        <v>34.081818181818186</v>
      </c>
      <c r="E30" s="30">
        <f>AVERAGE(E6:E27)</f>
        <v>68.854545454545459</v>
      </c>
      <c r="F30" s="30">
        <f>AVERAGE(F6:F27)</f>
        <v>34.081818181818186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3" zoomScaleNormal="100" workbookViewId="0">
      <selection activeCell="F16" sqref="F16"/>
    </sheetView>
  </sheetViews>
  <sheetFormatPr defaultColWidth="11" defaultRowHeight="14.5" x14ac:dyDescent="0.35"/>
  <cols>
    <col min="1" max="1" width="39.796875" style="1" bestFit="1" customWidth="1"/>
    <col min="2" max="2" width="14.8984375" style="1" customWidth="1"/>
    <col min="3" max="9" width="11" style="1"/>
    <col min="10" max="10" width="46.296875" style="1" customWidth="1"/>
    <col min="11" max="16384" width="11" style="1"/>
  </cols>
  <sheetData>
    <row r="1" spans="1:10" s="39" customFormat="1" ht="21" x14ac:dyDescent="0.5">
      <c r="A1" s="40" t="s">
        <v>56</v>
      </c>
      <c r="B1" s="39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1" t="s">
        <v>53</v>
      </c>
      <c r="B5" s="44" t="s">
        <v>177</v>
      </c>
      <c r="J5" s="1" t="s">
        <v>179</v>
      </c>
    </row>
    <row r="6" spans="1:10" ht="18.5" x14ac:dyDescent="0.45">
      <c r="A6" s="41" t="s">
        <v>153</v>
      </c>
      <c r="B6" s="45" t="s">
        <v>178</v>
      </c>
      <c r="J6" s="1" t="s">
        <v>180</v>
      </c>
    </row>
    <row r="7" spans="1:10" ht="18.5" x14ac:dyDescent="0.45">
      <c r="A7" s="41"/>
      <c r="B7" s="38"/>
    </row>
    <row r="9" spans="1:10" ht="23.5" x14ac:dyDescent="0.55000000000000004">
      <c r="A9" s="17" t="s">
        <v>165</v>
      </c>
      <c r="I9" s="2"/>
      <c r="J9" s="2"/>
    </row>
    <row r="10" spans="1:10" x14ac:dyDescent="0.3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162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7" t="s">
        <v>121</v>
      </c>
      <c r="B16" s="11" t="str">
        <f>LEFT(A16,FIND("-",A16)-1)</f>
        <v>20000</v>
      </c>
      <c r="C16" s="1" t="str">
        <f>MID(A16,FIND("-",A16)+1,FIND("-",MID(A16,FIND("-",A16)+1,LEN(A16)))-1)</f>
        <v>Monday</v>
      </c>
      <c r="D16" s="11" t="str">
        <f>MID(A16, FIND("-", A16, FIND("-", A16) + 1) + 1, FIND("-", MID(A16, FIND("-", A16, FIND("-", A16) + 1) + 1, LEN(A16))) - 1)</f>
        <v>0</v>
      </c>
      <c r="E16" s="1" t="str">
        <f>MID(A16, FIND("-", A16, FIND("-", A16, FIND("-", A16) + 1) + 1) + 1, FIND("-", MID(A16, FIND("-", A16, FIND("-", A16, FIND("-", A16) + 1) + 1) + 1, LEN(A16))) - 1)</f>
        <v>Sunday</v>
      </c>
      <c r="F16" s="11" t="str">
        <f>MID(A16, FIND("-", A16, FIND("-", A16, FIND("-", A16, FIND("-", A16) + 1) + 1) + 1) + 1, LEN(A16))</f>
        <v>24</v>
      </c>
    </row>
    <row r="17" spans="1:6" x14ac:dyDescent="0.35">
      <c r="A17" s="7" t="s">
        <v>122</v>
      </c>
      <c r="B17" s="11" t="str">
        <f t="shared" ref="B17:B54" si="0">LEFT(A17,FIND("-",A17)-1)</f>
        <v>20002</v>
      </c>
      <c r="C17" s="1" t="str">
        <f t="shared" ref="C17:C54" si="1">MID(A17,FIND("-",A17)+1,FIND("-",MID(A17,FIND("-",A17)+1,LEN(A17)))-1)</f>
        <v>Monday</v>
      </c>
      <c r="D17" s="11" t="str">
        <f t="shared" ref="D17:D54" si="2">MID(A17, FIND("-", A17, FIND("-", A17) + 1) + 1, FIND("-", MID(A17, FIND("-", A17, FIND("-", A17) + 1) + 1, LEN(A17))) - 1)</f>
        <v>0</v>
      </c>
      <c r="E17" s="1" t="str">
        <f t="shared" ref="E17:E54" si="3">MID(A17, FIND("-", A17, FIND("-", A17, FIND("-", A17) + 1) + 1) + 1, FIND("-", MID(A17, FIND("-", A17, FIND("-", A17, FIND("-", A17) + 1) + 1) + 1, LEN(A17))) - 1)</f>
        <v>Sunday</v>
      </c>
      <c r="F17" s="11" t="str">
        <f t="shared" ref="F17:F54" si="4">MID(A17, FIND("-", A17, FIND("-", A17, FIND("-", A17, FIND("-", A17) + 1) + 1) + 1) + 1, LEN(A17))</f>
        <v>24</v>
      </c>
    </row>
    <row r="18" spans="1:6" x14ac:dyDescent="0.35">
      <c r="A18" s="7" t="s">
        <v>123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35">
      <c r="A19" s="7" t="s">
        <v>124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35">
      <c r="A20" s="7" t="s">
        <v>125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35">
      <c r="A21" s="7" t="s">
        <v>126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35">
      <c r="A22" s="7" t="s">
        <v>127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35">
      <c r="A23" s="7" t="s">
        <v>128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35">
      <c r="A24" s="7" t="s">
        <v>129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35">
      <c r="A25" s="7" t="s">
        <v>130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35">
      <c r="A26" s="7" t="s">
        <v>131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35">
      <c r="A27" s="7" t="s">
        <v>132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35">
      <c r="A28" s="7" t="s">
        <v>133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35">
      <c r="A29" s="7" t="s">
        <v>134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35">
      <c r="A30" s="7" t="s">
        <v>135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35">
      <c r="A31" s="7" t="s">
        <v>136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35">
      <c r="A32" s="7" t="s">
        <v>137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35">
      <c r="A33" s="7" t="s">
        <v>138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35">
      <c r="A34" s="7" t="s">
        <v>139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35">
      <c r="A35" s="7" t="s">
        <v>140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35">
      <c r="A36" s="7" t="s">
        <v>141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35">
      <c r="A37" s="7" t="s">
        <v>142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35">
      <c r="A38" s="7" t="s">
        <v>143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35">
      <c r="A39" s="7" t="s">
        <v>144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35">
      <c r="A40" s="7" t="s">
        <v>145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35">
      <c r="A41" s="7" t="s">
        <v>146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35">
      <c r="A42" s="7" t="s">
        <v>147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35">
      <c r="A43" s="7" t="s">
        <v>148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35">
      <c r="A44" s="7" t="s">
        <v>149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35">
      <c r="A45" s="7" t="s">
        <v>150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35">
      <c r="A46" s="7" t="s">
        <v>112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35">
      <c r="A47" s="7" t="s">
        <v>113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35">
      <c r="A48" s="7" t="s">
        <v>114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35">
      <c r="A49" s="7" t="s">
        <v>115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35">
      <c r="A50" s="7" t="s">
        <v>116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35">
      <c r="A51" s="7" t="s">
        <v>117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35">
      <c r="A52" s="7" t="s">
        <v>118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35">
      <c r="A53" s="7" t="s">
        <v>119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35">
      <c r="A54" s="9" t="s">
        <v>120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I22"/>
  <sheetViews>
    <sheetView zoomScaleNormal="100" workbookViewId="0">
      <selection activeCell="F8" sqref="F8"/>
    </sheetView>
  </sheetViews>
  <sheetFormatPr defaultColWidth="11" defaultRowHeight="13" x14ac:dyDescent="0.3"/>
  <cols>
    <col min="1" max="1" width="28.19921875" style="2" bestFit="1" customWidth="1"/>
    <col min="2" max="2" width="40.19921875" style="2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7" width="14.59765625" style="2" bestFit="1" customWidth="1"/>
    <col min="8" max="8" width="16.69921875" style="2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9" ht="21" x14ac:dyDescent="0.5">
      <c r="A1" s="40" t="s">
        <v>85</v>
      </c>
      <c r="B1" s="39" t="s">
        <v>167</v>
      </c>
    </row>
    <row r="2" spans="1:9" ht="18.5" x14ac:dyDescent="0.45">
      <c r="B2" s="38" t="s">
        <v>166</v>
      </c>
    </row>
    <row r="5" spans="1:9" ht="14.5" x14ac:dyDescent="0.35">
      <c r="B5" s="1" t="s">
        <v>151</v>
      </c>
    </row>
    <row r="6" spans="1:9" ht="14.5" x14ac:dyDescent="0.35">
      <c r="A6" s="3" t="s">
        <v>53</v>
      </c>
      <c r="B6" s="1" t="s">
        <v>185</v>
      </c>
      <c r="I6" s="1" t="s">
        <v>186</v>
      </c>
    </row>
    <row r="7" spans="1:9" ht="14.5" x14ac:dyDescent="0.35">
      <c r="A7" s="3" t="s">
        <v>153</v>
      </c>
      <c r="B7" s="1" t="s">
        <v>181</v>
      </c>
      <c r="I7" s="45" t="s">
        <v>182</v>
      </c>
    </row>
    <row r="8" spans="1:9" ht="14.5" x14ac:dyDescent="0.35">
      <c r="B8" s="45" t="s">
        <v>184</v>
      </c>
    </row>
    <row r="9" spans="1:9" ht="14.5" x14ac:dyDescent="0.35">
      <c r="B9" s="45" t="s">
        <v>183</v>
      </c>
    </row>
    <row r="10" spans="1:9" ht="23.5" x14ac:dyDescent="0.55000000000000004">
      <c r="A10" s="17" t="s">
        <v>162</v>
      </c>
    </row>
    <row r="11" spans="1:9" ht="14.5" x14ac:dyDescent="0.35">
      <c r="A11" s="31" t="s">
        <v>86</v>
      </c>
      <c r="B11" s="16" t="s">
        <v>87</v>
      </c>
      <c r="C11" s="16" t="s">
        <v>88</v>
      </c>
    </row>
    <row r="12" spans="1:9" ht="14.5" x14ac:dyDescent="0.35">
      <c r="A12" s="31">
        <v>44927</v>
      </c>
      <c r="B12" s="16" t="s">
        <v>59</v>
      </c>
      <c r="C12" s="16">
        <v>200</v>
      </c>
    </row>
    <row r="13" spans="1:9" ht="14.5" x14ac:dyDescent="0.35">
      <c r="A13" s="31">
        <v>44928</v>
      </c>
      <c r="B13" s="16" t="s">
        <v>60</v>
      </c>
      <c r="C13" s="16" t="e">
        <v>#N/A</v>
      </c>
    </row>
    <row r="14" spans="1:9" ht="14.5" x14ac:dyDescent="0.35">
      <c r="A14" s="31">
        <v>44929</v>
      </c>
      <c r="B14" s="16" t="s">
        <v>61</v>
      </c>
      <c r="C14" s="16">
        <v>50</v>
      </c>
    </row>
    <row r="15" spans="1:9" ht="14.5" x14ac:dyDescent="0.35">
      <c r="A15" s="31">
        <v>44930</v>
      </c>
      <c r="B15" s="16" t="s">
        <v>62</v>
      </c>
      <c r="C15" s="16" t="e">
        <v>#N/A</v>
      </c>
    </row>
    <row r="16" spans="1:9" ht="14.5" x14ac:dyDescent="0.35">
      <c r="A16" s="31">
        <v>44931</v>
      </c>
      <c r="B16" s="16" t="s">
        <v>63</v>
      </c>
      <c r="C16" s="16">
        <v>10</v>
      </c>
    </row>
    <row r="17" spans="1:3" ht="14.5" x14ac:dyDescent="0.35">
      <c r="A17" s="31">
        <v>44932</v>
      </c>
      <c r="B17" s="16" t="s">
        <v>154</v>
      </c>
      <c r="C17" s="16">
        <v>150</v>
      </c>
    </row>
    <row r="18" spans="1:3" ht="14.5" x14ac:dyDescent="0.35">
      <c r="A18" s="31">
        <v>44933</v>
      </c>
      <c r="B18" s="16" t="s">
        <v>155</v>
      </c>
      <c r="C18" s="16">
        <v>80</v>
      </c>
    </row>
    <row r="19" spans="1:3" ht="14.5" x14ac:dyDescent="0.35">
      <c r="A19" s="31">
        <v>44934</v>
      </c>
      <c r="B19" s="16" t="s">
        <v>156</v>
      </c>
      <c r="C19" s="16" t="e">
        <v>#N/A</v>
      </c>
    </row>
    <row r="20" spans="1:3" ht="14.5" x14ac:dyDescent="0.35">
      <c r="A20" s="31">
        <v>44935</v>
      </c>
      <c r="B20" s="16" t="s">
        <v>157</v>
      </c>
      <c r="C20" s="16">
        <v>30</v>
      </c>
    </row>
    <row r="21" spans="1:3" ht="14.5" x14ac:dyDescent="0.35">
      <c r="A21" s="31">
        <v>44936</v>
      </c>
      <c r="B21" s="16" t="s">
        <v>158</v>
      </c>
      <c r="C21" s="16" t="e">
        <v>#N/A</v>
      </c>
    </row>
    <row r="22" spans="1:3" ht="14.5" x14ac:dyDescent="0.35">
      <c r="B22" s="16" t="s">
        <v>159</v>
      </c>
      <c r="C22" s="24">
        <f>SUMIF(C12:C21, "&lt;&gt;#N/A", C12:C21)+(COUNTIF(C12:C21,"#N/A")*20)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B6" sqref="B6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0" t="s">
        <v>98</v>
      </c>
      <c r="B1" s="39" t="s">
        <v>175</v>
      </c>
    </row>
    <row r="3" spans="1:14" ht="14.5" x14ac:dyDescent="0.35">
      <c r="B3" s="1" t="s">
        <v>151</v>
      </c>
    </row>
    <row r="4" spans="1:14" ht="18.5" x14ac:dyDescent="0.45">
      <c r="A4" s="41" t="s">
        <v>53</v>
      </c>
      <c r="B4" s="1"/>
      <c r="C4" s="2" t="s">
        <v>187</v>
      </c>
    </row>
    <row r="5" spans="1:14" ht="18.5" x14ac:dyDescent="0.45">
      <c r="A5" s="41" t="s">
        <v>153</v>
      </c>
      <c r="B5" s="1"/>
      <c r="C5" s="2" t="s">
        <v>188</v>
      </c>
    </row>
    <row r="6" spans="1:14" ht="14.5" x14ac:dyDescent="0.35">
      <c r="A6" s="3"/>
      <c r="B6" s="1"/>
      <c r="C6" s="2" t="s">
        <v>189</v>
      </c>
    </row>
    <row r="7" spans="1:14" x14ac:dyDescent="0.3">
      <c r="C7" s="2" t="s">
        <v>190</v>
      </c>
    </row>
    <row r="8" spans="1:14" ht="23.5" x14ac:dyDescent="0.55000000000000004">
      <c r="A8" s="17" t="s">
        <v>162</v>
      </c>
      <c r="M8" s="17" t="s">
        <v>163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168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42" t="str" cm="1">
        <f t="array" ref="C23:C35">IFERROR(VLOOKUP(A23:A35, A9:J18, 2, FALSE), VLOOKUP(B23:B35, M9:N18, 2, FALSE))</f>
        <v>B</v>
      </c>
    </row>
    <row r="24" spans="1:14" ht="14.5" x14ac:dyDescent="0.35">
      <c r="A24" s="7">
        <v>10100</v>
      </c>
      <c r="B24" s="11">
        <v>10104</v>
      </c>
      <c r="C24" s="42" t="str">
        <v>C</v>
      </c>
    </row>
    <row r="25" spans="1:14" ht="14.5" x14ac:dyDescent="0.35">
      <c r="A25" s="7">
        <v>10108</v>
      </c>
      <c r="B25" s="11">
        <v>10102</v>
      </c>
      <c r="C25" s="42" t="str">
        <v>B</v>
      </c>
    </row>
    <row r="26" spans="1:14" ht="14.5" x14ac:dyDescent="0.35">
      <c r="A26" s="7">
        <v>10100</v>
      </c>
      <c r="B26" s="11">
        <v>10106</v>
      </c>
      <c r="C26" s="42" t="str">
        <v>D</v>
      </c>
    </row>
    <row r="27" spans="1:14" ht="14.5" x14ac:dyDescent="0.35">
      <c r="A27" s="7">
        <v>10108</v>
      </c>
      <c r="B27" s="11">
        <v>10110</v>
      </c>
      <c r="C27" s="42" t="str">
        <v>F</v>
      </c>
    </row>
    <row r="28" spans="1:14" ht="14.5" x14ac:dyDescent="0.35">
      <c r="A28" s="7">
        <v>10102</v>
      </c>
      <c r="B28" s="11">
        <v>10104</v>
      </c>
      <c r="C28" s="42" t="str">
        <v>C</v>
      </c>
    </row>
    <row r="29" spans="1:14" ht="14.5" x14ac:dyDescent="0.35">
      <c r="A29" s="7">
        <v>10106</v>
      </c>
      <c r="B29" s="11">
        <v>10108</v>
      </c>
      <c r="C29" s="42" t="str">
        <v>E</v>
      </c>
    </row>
    <row r="30" spans="1:14" ht="14.5" x14ac:dyDescent="0.35">
      <c r="A30" s="7">
        <v>10102</v>
      </c>
      <c r="B30" s="11">
        <v>10106</v>
      </c>
      <c r="C30" s="42" t="str">
        <v>D</v>
      </c>
    </row>
    <row r="31" spans="1:14" ht="14.5" x14ac:dyDescent="0.35">
      <c r="A31" s="7">
        <v>10110</v>
      </c>
      <c r="B31" s="11">
        <v>10114</v>
      </c>
      <c r="C31" s="42" t="str">
        <v>H</v>
      </c>
    </row>
    <row r="32" spans="1:14" ht="14.5" x14ac:dyDescent="0.35">
      <c r="A32" s="7">
        <v>10104</v>
      </c>
      <c r="B32" s="11">
        <v>10106</v>
      </c>
      <c r="C32" s="42" t="str">
        <v>D</v>
      </c>
    </row>
    <row r="33" spans="1:3" ht="14.5" x14ac:dyDescent="0.35">
      <c r="A33" s="7">
        <v>10110</v>
      </c>
      <c r="B33" s="11">
        <v>10112</v>
      </c>
      <c r="C33" s="42" t="str">
        <v>G</v>
      </c>
    </row>
    <row r="34" spans="1:3" ht="14.5" x14ac:dyDescent="0.35">
      <c r="A34" s="7">
        <v>10100</v>
      </c>
      <c r="B34" s="11">
        <v>10114</v>
      </c>
      <c r="C34" s="42" t="str">
        <v>H</v>
      </c>
    </row>
    <row r="35" spans="1:3" ht="14.5" x14ac:dyDescent="0.35">
      <c r="A35" s="9">
        <v>10112</v>
      </c>
      <c r="B35" s="12">
        <v>10116</v>
      </c>
      <c r="C35" s="43" t="str">
        <v>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Dattatraya Shinde</cp:lastModifiedBy>
  <dcterms:created xsi:type="dcterms:W3CDTF">2015-02-10T17:33:11Z</dcterms:created>
  <dcterms:modified xsi:type="dcterms:W3CDTF">2023-12-10T05:32:28Z</dcterms:modified>
</cp:coreProperties>
</file>